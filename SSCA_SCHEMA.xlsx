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gigengack\Downloads\SSCA\"/>
    </mc:Choice>
  </mc:AlternateContent>
  <xr:revisionPtr revIDLastSave="0" documentId="13_ncr:1_{89047BE1-4341-453B-A046-73E8B7E5CA97}" xr6:coauthVersionLast="47" xr6:coauthVersionMax="47" xr10:uidLastSave="{00000000-0000-0000-0000-000000000000}"/>
  <bookViews>
    <workbookView xWindow="-110" yWindow="-110" windowWidth="23260" windowHeight="14860" activeTab="1" xr2:uid="{11E90313-E6DF-4277-AB17-C4BC5BBFB609}"/>
  </bookViews>
  <sheets>
    <sheet name="AssetGroups" sheetId="2" r:id="rId1"/>
    <sheet name="EventIDs" sheetId="1" r:id="rId2"/>
    <sheet name="CompromiseMap"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I3" i="2" l="1"/>
  <c r="I4" i="2"/>
  <c r="I5" i="2"/>
  <c r="I6" i="2"/>
  <c r="I7" i="2"/>
  <c r="I8" i="2"/>
  <c r="I9" i="2"/>
  <c r="I10" i="2"/>
  <c r="I11" i="2"/>
  <c r="I12" i="2"/>
  <c r="I13" i="2"/>
  <c r="I2" i="2"/>
</calcChain>
</file>

<file path=xl/sharedStrings.xml><?xml version="1.0" encoding="utf-8"?>
<sst xmlns="http://schemas.openxmlformats.org/spreadsheetml/2006/main" count="361" uniqueCount="105">
  <si>
    <t>ASSETGROUP</t>
  </si>
  <si>
    <t>Description</t>
  </si>
  <si>
    <t>Priority</t>
  </si>
  <si>
    <t>MDI Weight</t>
  </si>
  <si>
    <t>MDE Weight</t>
  </si>
  <si>
    <t>Defender Onboarded</t>
  </si>
  <si>
    <t>AD Event Weight</t>
  </si>
  <si>
    <t>SIEM Weight</t>
  </si>
  <si>
    <t>Max Coverage Weight</t>
  </si>
  <si>
    <t>Schema Notes</t>
  </si>
  <si>
    <t>ADCS</t>
  </si>
  <si>
    <t>Active Directory Certificate Services</t>
  </si>
  <si>
    <t>ADFS</t>
  </si>
  <si>
    <t>Active Directory Federation Services</t>
  </si>
  <si>
    <t>DCS</t>
  </si>
  <si>
    <t>Domain Controllers</t>
  </si>
  <si>
    <t>DCs as the Highest Priority Asset, MDI has greatest weighting</t>
  </si>
  <si>
    <t>ENDPOINTS</t>
  </si>
  <si>
    <t>Endpoint: Windows Client</t>
  </si>
  <si>
    <t>ENTRACONNECT</t>
  </si>
  <si>
    <t>Entra Connect Server</t>
  </si>
  <si>
    <t>SERVERS</t>
  </si>
  <si>
    <t>Windows Server</t>
  </si>
  <si>
    <t>TRUSTEDDOMAINS</t>
  </si>
  <si>
    <t>Trusted Domain Controllers</t>
  </si>
  <si>
    <t>TRUSTEDFORDELEGATION</t>
  </si>
  <si>
    <t>Trusted for Delegation Server</t>
  </si>
  <si>
    <t>ENDPOINTS-HYBRID</t>
  </si>
  <si>
    <t>Endpoint: Windows Hybrid-Joined</t>
  </si>
  <si>
    <t>ENDPOINTS-ENTRA</t>
  </si>
  <si>
    <t>Endpoint: Windows Cloud Native</t>
  </si>
  <si>
    <t>ENDPOINTS-ENTRAMAC</t>
  </si>
  <si>
    <t>Endpoint: MacOS Cloud Native</t>
  </si>
  <si>
    <t>MDE has 3 DataSource Types on MacOS, No Visibility of AD Events</t>
  </si>
  <si>
    <t>UNKNOWN</t>
  </si>
  <si>
    <t>Unknown Host Type</t>
  </si>
  <si>
    <t>EventID</t>
  </si>
  <si>
    <t>A Certificate Private Key was acquired.</t>
  </si>
  <si>
    <t>The 'Security' audit log is cleared.</t>
  </si>
  <si>
    <t>PowerShell module logging.</t>
  </si>
  <si>
    <t>PowerShell script block logging.</t>
  </si>
  <si>
    <t>Certificate Services backup was started.</t>
  </si>
  <si>
    <t>Certificate Services received a certificate request.</t>
  </si>
  <si>
    <t>Certificate Services approved a certificate request and issued a certificate.</t>
  </si>
  <si>
    <t>A Certificate Services template was updated.</t>
  </si>
  <si>
    <t>Certificate Services template security was updated.</t>
  </si>
  <si>
    <t>The Federation Service configuration was changed.</t>
  </si>
  <si>
    <t>Additional information about events such as federation service configuration changes was requested.</t>
  </si>
  <si>
    <t>A certificate was exported.</t>
  </si>
  <si>
    <t>The Federation Service issued a valid token.</t>
  </si>
  <si>
    <t>The Federation Service validated a new credential.</t>
  </si>
  <si>
    <t>No strong certificate mappings could be found, and the certificate did not have the new security identifier (SID) extension that the KDC could validate.</t>
  </si>
  <si>
    <t>The certificate was issued to the user before the user existed in Active Directory and no strong mapping could be found. This event is only logged when the KDC is in Compatibility mode.</t>
  </si>
  <si>
    <t>The SID contained in the new extension of the users certificate does not match the users SID, implying that the certificate was issued to another user.</t>
  </si>
  <si>
    <t>A computer object tries to make an unsigned LDAP bind.</t>
  </si>
  <si>
    <t>A driver failed to load because it did not meet Microsoft's signing requirements.</t>
  </si>
  <si>
    <t>A driver failed to load because it did not meet the security requirements for shared sections.</t>
  </si>
  <si>
    <t>PowerShell executes and logs pipeline execution details.</t>
  </si>
  <si>
    <t>PowerShell executes code to capture scripts and commands.</t>
  </si>
  <si>
    <t>An account is successfully logged on.</t>
  </si>
  <si>
    <t>An account fails to log on.</t>
  </si>
  <si>
    <t>A handle to an object is requested.</t>
  </si>
  <si>
    <t>An operation is performed on an object.</t>
  </si>
  <si>
    <t>An attempt is made to access an object.</t>
  </si>
  <si>
    <t>A privileged service is called.</t>
  </si>
  <si>
    <t>An operation is attempted on a privileged object.</t>
  </si>
  <si>
    <t>SIDs were filtered.</t>
  </si>
  <si>
    <t>A new process is created.</t>
  </si>
  <si>
    <t>A service is installed in the system.</t>
  </si>
  <si>
    <t>A user right is adjusted.</t>
  </si>
  <si>
    <t>An attempt is made to reset an account's password.</t>
  </si>
  <si>
    <t>A user account is changed.</t>
  </si>
  <si>
    <t>A user account is locked out.</t>
  </si>
  <si>
    <t>A computer account was created in Active Directory.</t>
  </si>
  <si>
    <t>A Kerberos Ticket Granting Ticket (TGT) is requested.</t>
  </si>
  <si>
    <t>A Kerberos Ticket Granting Service (TGS) is requested.</t>
  </si>
  <si>
    <t>A Kerberos Ticket Granting Ticket (TGT) is renewed.</t>
  </si>
  <si>
    <t>Kerberos pre-authentication fails.</t>
  </si>
  <si>
    <t>A directory service object was modified.</t>
  </si>
  <si>
    <t>A shadow copy is created.</t>
  </si>
  <si>
    <t>An account is successfully logged on (group membership information).</t>
  </si>
  <si>
    <t>This event is generated when a logon is attempted using explicit 
credentials.</t>
  </si>
  <si>
    <t>The PHS has failed.</t>
  </si>
  <si>
    <t>Password synchronisation starts retrieving updated passwords from Active Directory.</t>
  </si>
  <si>
    <t>Password synchronisation finishes retrieving updated passwords from Active Directory.</t>
  </si>
  <si>
    <t>Password synchronisation indicates that a password change occurred and there was an attempt to sync this password to Microsoft Entra ID.</t>
  </si>
  <si>
    <t>A password change request is successfully sent to Microsoft Entra ID.</t>
  </si>
  <si>
    <t>Compromise</t>
  </si>
  <si>
    <t>Active Directory Certificate Services (AD CS) comporomise</t>
  </si>
  <si>
    <t>Authentication Server Response (AS-REP) Roasting</t>
  </si>
  <si>
    <t>DCSync</t>
  </si>
  <si>
    <t>Dumping ntds.dit</t>
  </si>
  <si>
    <t>Golden Certificate</t>
  </si>
  <si>
    <t>Golden Security Assertion Markup Language (SAML)</t>
  </si>
  <si>
    <t>Golden Ticket</t>
  </si>
  <si>
    <t>Kerberoasting</t>
  </si>
  <si>
    <t>MachineAccountQuota compromise</t>
  </si>
  <si>
    <t>Microsoft Entra Connect compromise</t>
  </si>
  <si>
    <t>One-way domain trust bypass</t>
  </si>
  <si>
    <t>Password spraying</t>
  </si>
  <si>
    <t>WORKSTATIONS</t>
  </si>
  <si>
    <t>Security Identifier (SID) History compromise</t>
  </si>
  <si>
    <t>Silver Ticket</t>
  </si>
  <si>
    <t>Skeleton Key</t>
  </si>
  <si>
    <t>Unconstrained delegation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</si>
</sst>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6333E3-6448-4448-8311-A2AB97E0464B}" name="TABLE_AssetGroups" displayName="TABLE_AssetGroups" ref="A1:J13" totalsRowShown="0">
  <autoFilter ref="A1:J13" xr:uid="{1A6333E3-6448-4448-8311-A2AB97E0464B}"/>
  <sortState xmlns:xlrd2="http://schemas.microsoft.com/office/spreadsheetml/2017/richdata2" ref="A2:B9">
    <sortCondition ref="A1:A9"/>
  </sortState>
  <tableColumns count="10">
    <tableColumn id="1" xr3:uid="{97504CF8-6982-4EE3-8F22-DE3F23B45D43}" name="ASSETGROUP"/>
    <tableColumn id="2" xr3:uid="{B13C3D44-A53F-4336-A164-FEE0E38B2F54}" name="Description"/>
    <tableColumn id="3" xr3:uid="{BDDE39E1-7D2E-4350-87C4-685A6E15024A}" name="Priority"/>
    <tableColumn id="4" xr3:uid="{2BDE59BA-3292-4316-AD4A-3CC19788185B}" name="MDI Weight"/>
    <tableColumn id="6" xr3:uid="{58E5AC5F-4D8F-4D3B-B45E-0CB35B6A2677}" name="MDE Weight"/>
    <tableColumn id="10" xr3:uid="{076B9660-53BE-4AB7-957D-03442D53F2B8}" name="Defender Onboarded"/>
    <tableColumn id="5" xr3:uid="{45F06DB6-C921-4F16-ABFA-AA918CF25871}" name="AD Event Weight">
      <calculatedColumnFormula>COUNTIFS(TABLE_EventIDs[Priority],TRUE,TABLE_EventIDs[ASSETGROUP],TABLE_AssetGroups[[#This Row],[ASSETGROUP]])</calculatedColumnFormula>
    </tableColumn>
    <tableColumn id="8" xr3:uid="{F4FDDE60-CB08-4A9F-8EB7-D2E3567CF655}" name="SIEM Weight"/>
    <tableColumn id="7" xr3:uid="{61BB6B1C-26F4-476C-B422-D9C2F6C5A002}" name="Max Coverage Weight" dataDxfId="0">
      <calculatedColumnFormula>SUM(TABLE_AssetGroups[[#This Row],[MDI Weight]:[SIEM Weight]])</calculatedColumnFormula>
    </tableColumn>
    <tableColumn id="9" xr3:uid="{ACD5B8B6-A3AD-4A94-B6E1-852DB0B21A63}" name="Schema Not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9D3C72-6C93-4DD4-9A29-614DB565B3B3}" name="TABLE_EventIDs" displayName="TABLE_EventIDs" ref="A1:D73" totalsRowShown="0">
  <autoFilter ref="A1:D73" xr:uid="{709D3C72-6C93-4DD4-9A29-614DB565B3B3}"/>
  <sortState xmlns:xlrd2="http://schemas.microsoft.com/office/spreadsheetml/2017/richdata2" ref="A2:D73">
    <sortCondition ref="A2:A73"/>
    <sortCondition ref="B2:B73"/>
  </sortState>
  <tableColumns count="4">
    <tableColumn id="1" xr3:uid="{9476F405-65A7-493E-8D8A-EEC797C7E48D}" name="ASSETGROUP"/>
    <tableColumn id="2" xr3:uid="{E278D8B9-43DD-4861-BBE5-37BDFBB34D64}" name="EventID"/>
    <tableColumn id="3" xr3:uid="{4060E6B2-EBDB-4C75-8C7E-5B6922C897B7}" name="Description"/>
    <tableColumn id="4" xr3:uid="{15ACB0F1-687B-4426-9B37-32F44DB8C38B}" name="Priority"/>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36E27F-D209-473F-80E5-D8AA074A1728}" name="TABLE_CompromiseMap" displayName="TABLE_CompromiseMap" ref="A1:C88" totalsRowShown="0">
  <autoFilter ref="A1:C88" xr:uid="{7D36E27F-D209-473F-80E5-D8AA074A1728}"/>
  <tableColumns count="3">
    <tableColumn id="1" xr3:uid="{18137697-0839-4016-B2DB-1C0E8FE64DA4}" name="Compromise"/>
    <tableColumn id="2" xr3:uid="{FE10F198-C80F-4211-B13A-FD646569BC3D}" name="ASSETGROUP"/>
    <tableColumn id="3" xr3:uid="{48C5F3AB-00EF-444B-808A-255CE9C21DC4}" name="EventI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C4616-5394-4A99-AFDB-218AFAF47BCF}">
  <dimension ref="A1:J13"/>
  <sheetViews>
    <sheetView zoomScale="75" workbookViewId="0">
      <selection activeCell="E6" sqref="E6"/>
    </sheetView>
  </sheetViews>
  <sheetFormatPr defaultRowHeight="14.5" x14ac:dyDescent="0.35"/>
  <cols>
    <col min="1" max="1" width="22.7265625" bestFit="1" customWidth="1"/>
    <col min="2" max="2" width="45.81640625" customWidth="1"/>
    <col min="4" max="4" width="13.1796875" bestFit="1" customWidth="1"/>
    <col min="5" max="6" width="13.1796875" customWidth="1"/>
    <col min="7" max="7" width="17.26953125" bestFit="1" customWidth="1"/>
    <col min="8" max="8" width="17.26953125" customWidth="1"/>
    <col min="9" max="9" width="21.54296875" bestFit="1" customWidth="1"/>
    <col min="10" max="10" width="51.81640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v>10</v>
      </c>
      <c r="D2">
        <v>4</v>
      </c>
      <c r="E2">
        <v>4</v>
      </c>
      <c r="F2">
        <v>1</v>
      </c>
      <c r="G2">
        <f>COUNTIFS(TABLE_EventIDs[Priority],TRUE,TABLE_EventIDs[ASSETGROUP],TABLE_AssetGroups[[#This Row],[ASSETGROUP]])</f>
        <v>2</v>
      </c>
      <c r="H2">
        <v>1</v>
      </c>
      <c r="I2">
        <f>SUM(TABLE_AssetGroups[[#This Row],[MDI Weight]:[SIEM Weight]])</f>
        <v>12</v>
      </c>
    </row>
    <row r="3" spans="1:10" x14ac:dyDescent="0.35">
      <c r="A3" t="s">
        <v>12</v>
      </c>
      <c r="B3" t="s">
        <v>13</v>
      </c>
      <c r="C3">
        <v>20</v>
      </c>
      <c r="D3">
        <v>4</v>
      </c>
      <c r="E3">
        <v>4</v>
      </c>
      <c r="F3">
        <v>1</v>
      </c>
      <c r="G3">
        <f>COUNTIFS(TABLE_EventIDs[Priority],TRUE,TABLE_EventIDs[ASSETGROUP],TABLE_AssetGroups[[#This Row],[ASSETGROUP]])</f>
        <v>2</v>
      </c>
      <c r="H3">
        <v>1</v>
      </c>
      <c r="I3">
        <f>SUM(TABLE_AssetGroups[[#This Row],[MDI Weight]:[SIEM Weight]])</f>
        <v>12</v>
      </c>
    </row>
    <row r="4" spans="1:10" x14ac:dyDescent="0.35">
      <c r="A4" t="s">
        <v>14</v>
      </c>
      <c r="B4" t="s">
        <v>15</v>
      </c>
      <c r="C4">
        <v>0</v>
      </c>
      <c r="D4">
        <v>6</v>
      </c>
      <c r="E4">
        <v>4</v>
      </c>
      <c r="F4">
        <v>1</v>
      </c>
      <c r="G4">
        <f>COUNTIFS(TABLE_EventIDs[Priority],TRUE,TABLE_EventIDs[ASSETGROUP],TABLE_AssetGroups[[#This Row],[ASSETGROUP]])</f>
        <v>5</v>
      </c>
      <c r="H4">
        <v>1</v>
      </c>
      <c r="I4">
        <f>SUM(TABLE_AssetGroups[[#This Row],[MDI Weight]:[SIEM Weight]])</f>
        <v>17</v>
      </c>
      <c r="J4" t="s">
        <v>16</v>
      </c>
    </row>
    <row r="5" spans="1:10" x14ac:dyDescent="0.35">
      <c r="A5" t="s">
        <v>17</v>
      </c>
      <c r="B5" t="s">
        <v>18</v>
      </c>
      <c r="C5">
        <v>100</v>
      </c>
      <c r="D5">
        <v>0</v>
      </c>
      <c r="E5">
        <v>4</v>
      </c>
      <c r="F5">
        <v>1</v>
      </c>
      <c r="G5">
        <f>COUNTIFS(TABLE_EventIDs[Priority],TRUE,TABLE_EventIDs[ASSETGROUP],TABLE_AssetGroups[[#This Row],[ASSETGROUP]])</f>
        <v>1</v>
      </c>
      <c r="H5">
        <v>1</v>
      </c>
      <c r="I5">
        <f>SUM(TABLE_AssetGroups[[#This Row],[MDI Weight]:[SIEM Weight]])</f>
        <v>7</v>
      </c>
    </row>
    <row r="6" spans="1:10" x14ac:dyDescent="0.35">
      <c r="A6" t="s">
        <v>19</v>
      </c>
      <c r="B6" t="s">
        <v>20</v>
      </c>
      <c r="C6">
        <v>30</v>
      </c>
      <c r="D6">
        <v>4</v>
      </c>
      <c r="E6">
        <v>4</v>
      </c>
      <c r="F6">
        <v>1</v>
      </c>
      <c r="G6">
        <f>COUNTIFS(TABLE_EventIDs[Priority],TRUE,TABLE_EventIDs[ASSETGROUP],TABLE_AssetGroups[[#This Row],[ASSETGROUP]])</f>
        <v>1</v>
      </c>
      <c r="H6">
        <v>1</v>
      </c>
      <c r="I6">
        <f>SUM(TABLE_AssetGroups[[#This Row],[MDI Weight]:[SIEM Weight]])</f>
        <v>11</v>
      </c>
    </row>
    <row r="7" spans="1:10" x14ac:dyDescent="0.35">
      <c r="A7" t="s">
        <v>21</v>
      </c>
      <c r="B7" t="s">
        <v>22</v>
      </c>
      <c r="C7">
        <v>50</v>
      </c>
      <c r="D7">
        <v>0</v>
      </c>
      <c r="E7">
        <v>4</v>
      </c>
      <c r="F7">
        <v>1</v>
      </c>
      <c r="G7">
        <f>COUNTIFS(TABLE_EventIDs[Priority],TRUE,TABLE_EventIDs[ASSETGROUP],TABLE_AssetGroups[[#This Row],[ASSETGROUP]])</f>
        <v>1</v>
      </c>
      <c r="H7">
        <v>1</v>
      </c>
      <c r="I7">
        <f>SUM(TABLE_AssetGroups[[#This Row],[MDI Weight]:[SIEM Weight]])</f>
        <v>7</v>
      </c>
    </row>
    <row r="8" spans="1:10" x14ac:dyDescent="0.35">
      <c r="A8" t="s">
        <v>23</v>
      </c>
      <c r="B8" t="s">
        <v>24</v>
      </c>
      <c r="C8">
        <v>1</v>
      </c>
      <c r="D8">
        <v>0</v>
      </c>
      <c r="E8">
        <v>4</v>
      </c>
      <c r="F8">
        <v>1</v>
      </c>
      <c r="G8">
        <f>COUNTIFS(TABLE_EventIDs[Priority],TRUE,TABLE_EventIDs[ASSETGROUP],TABLE_AssetGroups[[#This Row],[ASSETGROUP]])</f>
        <v>1</v>
      </c>
      <c r="H8">
        <v>1</v>
      </c>
      <c r="I8">
        <f>SUM(TABLE_AssetGroups[[#This Row],[MDI Weight]:[SIEM Weight]])</f>
        <v>7</v>
      </c>
    </row>
    <row r="9" spans="1:10" x14ac:dyDescent="0.35">
      <c r="A9" t="s">
        <v>25</v>
      </c>
      <c r="B9" t="s">
        <v>26</v>
      </c>
      <c r="C9">
        <v>5</v>
      </c>
      <c r="D9">
        <v>0</v>
      </c>
      <c r="E9">
        <v>4</v>
      </c>
      <c r="F9">
        <v>1</v>
      </c>
      <c r="G9">
        <f>COUNTIFS(TABLE_EventIDs[Priority],TRUE,TABLE_EventIDs[ASSETGROUP],TABLE_AssetGroups[[#This Row],[ASSETGROUP]])</f>
        <v>2</v>
      </c>
      <c r="H9">
        <v>1</v>
      </c>
      <c r="I9">
        <f>SUM(TABLE_AssetGroups[[#This Row],[MDI Weight]:[SIEM Weight]])</f>
        <v>8</v>
      </c>
    </row>
    <row r="10" spans="1:10" x14ac:dyDescent="0.35">
      <c r="A10" t="s">
        <v>27</v>
      </c>
      <c r="B10" t="s">
        <v>28</v>
      </c>
      <c r="C10">
        <v>150</v>
      </c>
      <c r="D10">
        <v>0</v>
      </c>
      <c r="E10">
        <v>4</v>
      </c>
      <c r="F10">
        <v>1</v>
      </c>
      <c r="G10">
        <f>COUNTIFS(TABLE_EventIDs[Priority],TRUE,TABLE_EventIDs[ASSETGROUP],TABLE_AssetGroups[[#This Row],[ASSETGROUP]])</f>
        <v>1</v>
      </c>
      <c r="H10">
        <v>1</v>
      </c>
      <c r="I10">
        <f>SUM(TABLE_AssetGroups[[#This Row],[MDI Weight]:[SIEM Weight]])</f>
        <v>7</v>
      </c>
    </row>
    <row r="11" spans="1:10" x14ac:dyDescent="0.35">
      <c r="A11" t="s">
        <v>29</v>
      </c>
      <c r="B11" t="s">
        <v>30</v>
      </c>
      <c r="C11">
        <v>200</v>
      </c>
      <c r="D11">
        <v>0</v>
      </c>
      <c r="E11">
        <v>4</v>
      </c>
      <c r="F11">
        <v>1</v>
      </c>
      <c r="G11">
        <f>COUNTIFS(TABLE_EventIDs[Priority],TRUE,TABLE_EventIDs[ASSETGROUP],TABLE_AssetGroups[[#This Row],[ASSETGROUP]])</f>
        <v>1</v>
      </c>
      <c r="H11">
        <v>1</v>
      </c>
      <c r="I11">
        <f>SUM(TABLE_AssetGroups[[#This Row],[MDI Weight]:[SIEM Weight]])</f>
        <v>7</v>
      </c>
    </row>
    <row r="12" spans="1:10" x14ac:dyDescent="0.35">
      <c r="A12" t="s">
        <v>31</v>
      </c>
      <c r="B12" t="s">
        <v>32</v>
      </c>
      <c r="C12">
        <v>300</v>
      </c>
      <c r="D12">
        <v>0</v>
      </c>
      <c r="E12">
        <v>3</v>
      </c>
      <c r="F12">
        <v>1</v>
      </c>
      <c r="G12">
        <f>COUNTIFS(TABLE_EventIDs[Priority],TRUE,TABLE_EventIDs[ASSETGROUP],TABLE_AssetGroups[[#This Row],[ASSETGROUP]])</f>
        <v>0</v>
      </c>
      <c r="H12">
        <v>1</v>
      </c>
      <c r="I12">
        <f>SUM(TABLE_AssetGroups[[#This Row],[MDI Weight]:[SIEM Weight]])</f>
        <v>5</v>
      </c>
      <c r="J12" t="s">
        <v>33</v>
      </c>
    </row>
    <row r="13" spans="1:10" x14ac:dyDescent="0.35">
      <c r="A13" t="s">
        <v>34</v>
      </c>
      <c r="B13" t="s">
        <v>35</v>
      </c>
      <c r="C13">
        <v>500</v>
      </c>
      <c r="D13">
        <v>0</v>
      </c>
      <c r="E13">
        <v>4</v>
      </c>
      <c r="F13">
        <v>1</v>
      </c>
      <c r="G13">
        <f>COUNTIFS(TABLE_EventIDs[Priority],TRUE,TABLE_EventIDs[ASSETGROUP],TABLE_AssetGroups[[#This Row],[ASSETGROUP]])</f>
        <v>0</v>
      </c>
      <c r="H13">
        <v>1</v>
      </c>
      <c r="I13">
        <f>SUM(TABLE_AssetGroups[[#This Row],[MDI Weight]:[SIEM Weight]])</f>
        <v>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3B865-6F9C-4B3D-A326-5947475A9F03}">
  <dimension ref="A1:D73"/>
  <sheetViews>
    <sheetView tabSelected="1" zoomScale="75" workbookViewId="0">
      <selection activeCell="D1" sqref="D1"/>
    </sheetView>
  </sheetViews>
  <sheetFormatPr defaultRowHeight="14.5" x14ac:dyDescent="0.35"/>
  <cols>
    <col min="1" max="1" width="22.7265625" bestFit="1" customWidth="1"/>
    <col min="2" max="2" width="9.26953125" customWidth="1"/>
    <col min="3" max="3" width="156.81640625" bestFit="1" customWidth="1"/>
  </cols>
  <sheetData>
    <row r="1" spans="1:4" x14ac:dyDescent="0.35">
      <c r="A1" t="s">
        <v>0</v>
      </c>
      <c r="B1" t="s">
        <v>36</v>
      </c>
      <c r="C1" t="s">
        <v>1</v>
      </c>
      <c r="D1" t="s">
        <v>2</v>
      </c>
    </row>
    <row r="2" spans="1:4" x14ac:dyDescent="0.35">
      <c r="A2" t="s">
        <v>10</v>
      </c>
      <c r="B2">
        <v>70</v>
      </c>
      <c r="C2" t="s">
        <v>37</v>
      </c>
    </row>
    <row r="3" spans="1:4" x14ac:dyDescent="0.35">
      <c r="A3" t="s">
        <v>10</v>
      </c>
      <c r="B3">
        <v>1102</v>
      </c>
      <c r="C3" t="s">
        <v>38</v>
      </c>
    </row>
    <row r="4" spans="1:4" x14ac:dyDescent="0.35">
      <c r="A4" t="s">
        <v>10</v>
      </c>
      <c r="B4">
        <v>4103</v>
      </c>
      <c r="C4" t="s">
        <v>39</v>
      </c>
    </row>
    <row r="5" spans="1:4" x14ac:dyDescent="0.35">
      <c r="A5" t="s">
        <v>10</v>
      </c>
      <c r="B5">
        <v>4104</v>
      </c>
      <c r="C5" t="s">
        <v>40</v>
      </c>
    </row>
    <row r="6" spans="1:4" x14ac:dyDescent="0.35">
      <c r="A6" t="s">
        <v>10</v>
      </c>
      <c r="B6">
        <v>4876</v>
      </c>
      <c r="C6" t="s">
        <v>41</v>
      </c>
    </row>
    <row r="7" spans="1:4" x14ac:dyDescent="0.35">
      <c r="A7" t="s">
        <v>10</v>
      </c>
      <c r="B7">
        <v>4886</v>
      </c>
      <c r="C7" t="s">
        <v>42</v>
      </c>
      <c r="D7" t="b">
        <v>1</v>
      </c>
    </row>
    <row r="8" spans="1:4" x14ac:dyDescent="0.35">
      <c r="A8" t="s">
        <v>10</v>
      </c>
      <c r="B8">
        <v>4887</v>
      </c>
      <c r="C8" t="s">
        <v>43</v>
      </c>
      <c r="D8" t="b">
        <v>1</v>
      </c>
    </row>
    <row r="9" spans="1:4" x14ac:dyDescent="0.35">
      <c r="A9" t="s">
        <v>10</v>
      </c>
      <c r="B9">
        <v>4899</v>
      </c>
      <c r="C9" t="s">
        <v>44</v>
      </c>
    </row>
    <row r="10" spans="1:4" x14ac:dyDescent="0.35">
      <c r="A10" t="s">
        <v>10</v>
      </c>
      <c r="B10">
        <v>4900</v>
      </c>
      <c r="C10" t="s">
        <v>45</v>
      </c>
    </row>
    <row r="11" spans="1:4" x14ac:dyDescent="0.35">
      <c r="A11" t="s">
        <v>12</v>
      </c>
      <c r="B11">
        <v>70</v>
      </c>
      <c r="C11" t="s">
        <v>37</v>
      </c>
    </row>
    <row r="12" spans="1:4" x14ac:dyDescent="0.35">
      <c r="A12" t="s">
        <v>12</v>
      </c>
      <c r="B12">
        <v>307</v>
      </c>
      <c r="C12" t="s">
        <v>46</v>
      </c>
    </row>
    <row r="13" spans="1:4" x14ac:dyDescent="0.35">
      <c r="A13" t="s">
        <v>12</v>
      </c>
      <c r="B13">
        <v>510</v>
      </c>
      <c r="C13" t="s">
        <v>47</v>
      </c>
    </row>
    <row r="14" spans="1:4" x14ac:dyDescent="0.35">
      <c r="A14" t="s">
        <v>12</v>
      </c>
      <c r="B14">
        <v>1007</v>
      </c>
      <c r="C14" t="s">
        <v>48</v>
      </c>
    </row>
    <row r="15" spans="1:4" x14ac:dyDescent="0.35">
      <c r="A15" t="s">
        <v>12</v>
      </c>
      <c r="B15">
        <v>1102</v>
      </c>
      <c r="C15" t="s">
        <v>38</v>
      </c>
    </row>
    <row r="16" spans="1:4" x14ac:dyDescent="0.35">
      <c r="A16" t="s">
        <v>12</v>
      </c>
      <c r="B16">
        <v>1200</v>
      </c>
      <c r="C16" t="s">
        <v>49</v>
      </c>
      <c r="D16" t="b">
        <v>1</v>
      </c>
    </row>
    <row r="17" spans="1:4" x14ac:dyDescent="0.35">
      <c r="A17" t="s">
        <v>12</v>
      </c>
      <c r="B17">
        <v>1202</v>
      </c>
      <c r="C17" t="s">
        <v>50</v>
      </c>
      <c r="D17" t="b">
        <v>1</v>
      </c>
    </row>
    <row r="18" spans="1:4" x14ac:dyDescent="0.35">
      <c r="A18" t="s">
        <v>14</v>
      </c>
      <c r="B18">
        <v>39</v>
      </c>
      <c r="C18" t="s">
        <v>51</v>
      </c>
    </row>
    <row r="19" spans="1:4" x14ac:dyDescent="0.35">
      <c r="A19" t="s">
        <v>14</v>
      </c>
      <c r="B19">
        <v>40</v>
      </c>
      <c r="C19" t="s">
        <v>52</v>
      </c>
    </row>
    <row r="20" spans="1:4" x14ac:dyDescent="0.35">
      <c r="A20" t="s">
        <v>14</v>
      </c>
      <c r="B20">
        <v>41</v>
      </c>
      <c r="C20" t="s">
        <v>53</v>
      </c>
    </row>
    <row r="21" spans="1:4" x14ac:dyDescent="0.35">
      <c r="A21" t="s">
        <v>14</v>
      </c>
      <c r="B21">
        <v>1102</v>
      </c>
      <c r="C21" t="s">
        <v>38</v>
      </c>
    </row>
    <row r="22" spans="1:4" x14ac:dyDescent="0.35">
      <c r="A22" t="s">
        <v>14</v>
      </c>
      <c r="B22">
        <v>2889</v>
      </c>
      <c r="C22" t="s">
        <v>54</v>
      </c>
    </row>
    <row r="23" spans="1:4" x14ac:dyDescent="0.35">
      <c r="A23" t="s">
        <v>14</v>
      </c>
      <c r="B23">
        <v>3033</v>
      </c>
      <c r="C23" t="s">
        <v>55</v>
      </c>
    </row>
    <row r="24" spans="1:4" x14ac:dyDescent="0.35">
      <c r="A24" t="s">
        <v>14</v>
      </c>
      <c r="B24">
        <v>3063</v>
      </c>
      <c r="C24" t="s">
        <v>56</v>
      </c>
    </row>
    <row r="25" spans="1:4" x14ac:dyDescent="0.35">
      <c r="A25" t="s">
        <v>14</v>
      </c>
      <c r="B25">
        <v>4103</v>
      </c>
      <c r="C25" t="s">
        <v>57</v>
      </c>
    </row>
    <row r="26" spans="1:4" x14ac:dyDescent="0.35">
      <c r="A26" t="s">
        <v>14</v>
      </c>
      <c r="B26">
        <v>4104</v>
      </c>
      <c r="C26" t="s">
        <v>58</v>
      </c>
    </row>
    <row r="27" spans="1:4" x14ac:dyDescent="0.35">
      <c r="A27" t="s">
        <v>14</v>
      </c>
      <c r="B27">
        <v>4624</v>
      </c>
      <c r="C27" t="s">
        <v>59</v>
      </c>
      <c r="D27" t="b">
        <v>1</v>
      </c>
    </row>
    <row r="28" spans="1:4" x14ac:dyDescent="0.35">
      <c r="A28" t="s">
        <v>14</v>
      </c>
      <c r="B28">
        <v>4625</v>
      </c>
      <c r="C28" t="s">
        <v>60</v>
      </c>
    </row>
    <row r="29" spans="1:4" x14ac:dyDescent="0.35">
      <c r="A29" t="s">
        <v>14</v>
      </c>
      <c r="B29">
        <v>4656</v>
      </c>
      <c r="C29" t="s">
        <v>61</v>
      </c>
    </row>
    <row r="30" spans="1:4" x14ac:dyDescent="0.35">
      <c r="A30" t="s">
        <v>14</v>
      </c>
      <c r="B30">
        <v>4662</v>
      </c>
      <c r="C30" t="s">
        <v>62</v>
      </c>
    </row>
    <row r="31" spans="1:4" x14ac:dyDescent="0.35">
      <c r="A31" t="s">
        <v>14</v>
      </c>
      <c r="B31">
        <v>4663</v>
      </c>
      <c r="C31" t="s">
        <v>63</v>
      </c>
    </row>
    <row r="32" spans="1:4" x14ac:dyDescent="0.35">
      <c r="A32" t="s">
        <v>14</v>
      </c>
      <c r="B32">
        <v>4673</v>
      </c>
      <c r="C32" t="s">
        <v>64</v>
      </c>
      <c r="D32" t="b">
        <v>1</v>
      </c>
    </row>
    <row r="33" spans="1:4" x14ac:dyDescent="0.35">
      <c r="A33" t="s">
        <v>14</v>
      </c>
      <c r="B33">
        <v>4674</v>
      </c>
      <c r="C33" t="s">
        <v>65</v>
      </c>
    </row>
    <row r="34" spans="1:4" x14ac:dyDescent="0.35">
      <c r="A34" t="s">
        <v>14</v>
      </c>
      <c r="B34">
        <v>4675</v>
      </c>
      <c r="C34" t="s">
        <v>66</v>
      </c>
    </row>
    <row r="35" spans="1:4" x14ac:dyDescent="0.35">
      <c r="A35" t="s">
        <v>14</v>
      </c>
      <c r="B35">
        <v>4688</v>
      </c>
      <c r="C35" t="s">
        <v>67</v>
      </c>
      <c r="D35" t="b">
        <v>1</v>
      </c>
    </row>
    <row r="36" spans="1:4" x14ac:dyDescent="0.35">
      <c r="A36" t="s">
        <v>14</v>
      </c>
      <c r="B36">
        <v>4697</v>
      </c>
      <c r="C36" t="s">
        <v>68</v>
      </c>
    </row>
    <row r="37" spans="1:4" x14ac:dyDescent="0.35">
      <c r="A37" t="s">
        <v>14</v>
      </c>
      <c r="B37">
        <v>4703</v>
      </c>
      <c r="C37" t="s">
        <v>69</v>
      </c>
    </row>
    <row r="38" spans="1:4" x14ac:dyDescent="0.35">
      <c r="A38" t="s">
        <v>14</v>
      </c>
      <c r="B38">
        <v>4724</v>
      </c>
      <c r="C38" t="s">
        <v>70</v>
      </c>
    </row>
    <row r="39" spans="1:4" x14ac:dyDescent="0.35">
      <c r="A39" t="s">
        <v>14</v>
      </c>
      <c r="B39">
        <v>4738</v>
      </c>
      <c r="C39" t="s">
        <v>71</v>
      </c>
      <c r="D39" t="b">
        <v>1</v>
      </c>
    </row>
    <row r="40" spans="1:4" x14ac:dyDescent="0.35">
      <c r="A40" t="s">
        <v>14</v>
      </c>
      <c r="B40">
        <v>4740</v>
      </c>
      <c r="C40" t="s">
        <v>72</v>
      </c>
    </row>
    <row r="41" spans="1:4" x14ac:dyDescent="0.35">
      <c r="A41" t="s">
        <v>14</v>
      </c>
      <c r="B41">
        <v>4741</v>
      </c>
      <c r="C41" t="s">
        <v>73</v>
      </c>
    </row>
    <row r="42" spans="1:4" x14ac:dyDescent="0.35">
      <c r="A42" t="s">
        <v>14</v>
      </c>
      <c r="B42">
        <v>4768</v>
      </c>
      <c r="C42" t="s">
        <v>74</v>
      </c>
      <c r="D42" t="b">
        <v>1</v>
      </c>
    </row>
    <row r="43" spans="1:4" x14ac:dyDescent="0.35">
      <c r="A43" t="s">
        <v>14</v>
      </c>
      <c r="B43">
        <v>4769</v>
      </c>
      <c r="C43" t="s">
        <v>75</v>
      </c>
    </row>
    <row r="44" spans="1:4" x14ac:dyDescent="0.35">
      <c r="A44" t="s">
        <v>14</v>
      </c>
      <c r="B44">
        <v>4770</v>
      </c>
      <c r="C44" t="s">
        <v>76</v>
      </c>
    </row>
    <row r="45" spans="1:4" x14ac:dyDescent="0.35">
      <c r="A45" t="s">
        <v>14</v>
      </c>
      <c r="B45">
        <v>4771</v>
      </c>
      <c r="C45" t="s">
        <v>77</v>
      </c>
    </row>
    <row r="46" spans="1:4" x14ac:dyDescent="0.35">
      <c r="A46" t="s">
        <v>14</v>
      </c>
      <c r="B46">
        <v>5136</v>
      </c>
      <c r="C46" t="s">
        <v>78</v>
      </c>
    </row>
    <row r="47" spans="1:4" x14ac:dyDescent="0.35">
      <c r="A47" t="s">
        <v>14</v>
      </c>
      <c r="B47">
        <v>8222</v>
      </c>
      <c r="C47" t="s">
        <v>79</v>
      </c>
    </row>
    <row r="48" spans="1:4" x14ac:dyDescent="0.35">
      <c r="A48" t="s">
        <v>17</v>
      </c>
      <c r="B48">
        <v>4624</v>
      </c>
      <c r="C48" t="s">
        <v>59</v>
      </c>
      <c r="D48" t="b">
        <v>1</v>
      </c>
    </row>
    <row r="49" spans="1:4" x14ac:dyDescent="0.35">
      <c r="A49" t="s">
        <v>17</v>
      </c>
      <c r="B49">
        <v>4627</v>
      </c>
      <c r="C49" t="s">
        <v>80</v>
      </c>
    </row>
    <row r="50" spans="1:4" x14ac:dyDescent="0.35">
      <c r="A50" t="s">
        <v>17</v>
      </c>
      <c r="B50">
        <v>4648</v>
      </c>
      <c r="C50" t="s">
        <v>81</v>
      </c>
    </row>
    <row r="51" spans="1:4" x14ac:dyDescent="0.35">
      <c r="A51" t="s">
        <v>29</v>
      </c>
      <c r="B51">
        <v>4624</v>
      </c>
      <c r="C51" t="s">
        <v>59</v>
      </c>
      <c r="D51" t="b">
        <v>1</v>
      </c>
    </row>
    <row r="52" spans="1:4" x14ac:dyDescent="0.35">
      <c r="A52" t="s">
        <v>29</v>
      </c>
      <c r="B52">
        <v>4627</v>
      </c>
      <c r="C52" t="s">
        <v>80</v>
      </c>
    </row>
    <row r="53" spans="1:4" x14ac:dyDescent="0.35">
      <c r="A53" t="s">
        <v>29</v>
      </c>
      <c r="B53">
        <v>4648</v>
      </c>
      <c r="C53" t="s">
        <v>81</v>
      </c>
    </row>
    <row r="54" spans="1:4" x14ac:dyDescent="0.35">
      <c r="A54" t="s">
        <v>27</v>
      </c>
      <c r="B54">
        <v>4624</v>
      </c>
      <c r="C54" t="s">
        <v>59</v>
      </c>
      <c r="D54" t="b">
        <v>1</v>
      </c>
    </row>
    <row r="55" spans="1:4" x14ac:dyDescent="0.35">
      <c r="A55" t="s">
        <v>27</v>
      </c>
      <c r="B55">
        <v>4627</v>
      </c>
      <c r="C55" t="s">
        <v>80</v>
      </c>
    </row>
    <row r="56" spans="1:4" x14ac:dyDescent="0.35">
      <c r="A56" t="s">
        <v>27</v>
      </c>
      <c r="B56">
        <v>4648</v>
      </c>
      <c r="C56" t="s">
        <v>81</v>
      </c>
    </row>
    <row r="57" spans="1:4" x14ac:dyDescent="0.35">
      <c r="A57" t="s">
        <v>19</v>
      </c>
      <c r="B57">
        <v>611</v>
      </c>
      <c r="C57" t="s">
        <v>82</v>
      </c>
    </row>
    <row r="58" spans="1:4" x14ac:dyDescent="0.35">
      <c r="A58" t="s">
        <v>19</v>
      </c>
      <c r="B58">
        <v>650</v>
      </c>
      <c r="C58" t="s">
        <v>83</v>
      </c>
    </row>
    <row r="59" spans="1:4" x14ac:dyDescent="0.35">
      <c r="A59" t="s">
        <v>19</v>
      </c>
      <c r="B59">
        <v>651</v>
      </c>
      <c r="C59" t="s">
        <v>84</v>
      </c>
    </row>
    <row r="60" spans="1:4" x14ac:dyDescent="0.35">
      <c r="A60" t="s">
        <v>19</v>
      </c>
      <c r="B60">
        <v>656</v>
      </c>
      <c r="C60" t="s">
        <v>85</v>
      </c>
    </row>
    <row r="61" spans="1:4" x14ac:dyDescent="0.35">
      <c r="A61" t="s">
        <v>19</v>
      </c>
      <c r="B61">
        <v>657</v>
      </c>
      <c r="C61" t="s">
        <v>86</v>
      </c>
    </row>
    <row r="62" spans="1:4" x14ac:dyDescent="0.35">
      <c r="A62" t="s">
        <v>19</v>
      </c>
      <c r="B62">
        <v>1102</v>
      </c>
      <c r="C62" t="s">
        <v>38</v>
      </c>
    </row>
    <row r="63" spans="1:4" x14ac:dyDescent="0.35">
      <c r="A63" t="s">
        <v>19</v>
      </c>
      <c r="B63">
        <v>4103</v>
      </c>
      <c r="C63" t="s">
        <v>39</v>
      </c>
    </row>
    <row r="64" spans="1:4" x14ac:dyDescent="0.35">
      <c r="A64" t="s">
        <v>19</v>
      </c>
      <c r="B64">
        <v>4104</v>
      </c>
      <c r="C64" t="s">
        <v>40</v>
      </c>
    </row>
    <row r="65" spans="1:4" x14ac:dyDescent="0.35">
      <c r="A65" t="s">
        <v>19</v>
      </c>
      <c r="B65">
        <v>4624</v>
      </c>
      <c r="C65" t="s">
        <v>59</v>
      </c>
      <c r="D65" t="b">
        <v>1</v>
      </c>
    </row>
    <row r="66" spans="1:4" x14ac:dyDescent="0.35">
      <c r="A66" t="s">
        <v>21</v>
      </c>
      <c r="B66">
        <v>4624</v>
      </c>
      <c r="C66" t="s">
        <v>59</v>
      </c>
      <c r="D66" t="b">
        <v>1</v>
      </c>
    </row>
    <row r="67" spans="1:4" x14ac:dyDescent="0.35">
      <c r="A67" t="s">
        <v>21</v>
      </c>
      <c r="B67">
        <v>4627</v>
      </c>
      <c r="C67" t="s">
        <v>80</v>
      </c>
    </row>
    <row r="68" spans="1:4" x14ac:dyDescent="0.35">
      <c r="A68" t="s">
        <v>21</v>
      </c>
      <c r="B68">
        <v>4648</v>
      </c>
      <c r="C68" t="s">
        <v>81</v>
      </c>
    </row>
    <row r="69" spans="1:4" x14ac:dyDescent="0.35">
      <c r="A69" t="s">
        <v>23</v>
      </c>
      <c r="B69">
        <v>4768</v>
      </c>
      <c r="C69" t="s">
        <v>74</v>
      </c>
      <c r="D69" t="b">
        <v>1</v>
      </c>
    </row>
    <row r="70" spans="1:4" x14ac:dyDescent="0.35">
      <c r="A70" t="s">
        <v>25</v>
      </c>
      <c r="B70">
        <v>4103</v>
      </c>
      <c r="C70" t="s">
        <v>39</v>
      </c>
    </row>
    <row r="71" spans="1:4" x14ac:dyDescent="0.35">
      <c r="A71" t="s">
        <v>25</v>
      </c>
      <c r="B71">
        <v>4104</v>
      </c>
      <c r="C71" t="s">
        <v>40</v>
      </c>
    </row>
    <row r="72" spans="1:4" x14ac:dyDescent="0.35">
      <c r="A72" t="s">
        <v>25</v>
      </c>
      <c r="B72">
        <v>4624</v>
      </c>
      <c r="C72" t="s">
        <v>59</v>
      </c>
      <c r="D72" t="b">
        <v>1</v>
      </c>
    </row>
    <row r="73" spans="1:4" x14ac:dyDescent="0.35">
      <c r="A73" t="s">
        <v>25</v>
      </c>
      <c r="B73">
        <v>4688</v>
      </c>
      <c r="C73" t="s">
        <v>67</v>
      </c>
      <c r="D73" t="b">
        <v>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73EA1-0D79-4BB6-AF95-E688631AC4C6}">
  <dimension ref="A1:C88"/>
  <sheetViews>
    <sheetView topLeftCell="A45" workbookViewId="0">
      <selection activeCell="C70" sqref="C70:C71"/>
    </sheetView>
  </sheetViews>
  <sheetFormatPr defaultRowHeight="14.5" x14ac:dyDescent="0.35"/>
  <cols>
    <col min="1" max="1" width="49.26953125" bestFit="1" customWidth="1"/>
    <col min="2" max="2" width="22.7265625" bestFit="1" customWidth="1"/>
    <col min="3" max="3" width="9.26953125" customWidth="1"/>
  </cols>
  <sheetData>
    <row r="1" spans="1:3" x14ac:dyDescent="0.35">
      <c r="A1" t="s">
        <v>87</v>
      </c>
      <c r="B1" t="s">
        <v>0</v>
      </c>
      <c r="C1" t="s">
        <v>36</v>
      </c>
    </row>
    <row r="2" spans="1:3" x14ac:dyDescent="0.35">
      <c r="A2" t="s">
        <v>88</v>
      </c>
      <c r="B2" t="s">
        <v>14</v>
      </c>
      <c r="C2">
        <v>39</v>
      </c>
    </row>
    <row r="3" spans="1:3" x14ac:dyDescent="0.35">
      <c r="A3" t="s">
        <v>88</v>
      </c>
      <c r="B3" t="s">
        <v>14</v>
      </c>
      <c r="C3">
        <v>40</v>
      </c>
    </row>
    <row r="4" spans="1:3" x14ac:dyDescent="0.35">
      <c r="A4" t="s">
        <v>88</v>
      </c>
      <c r="B4" t="s">
        <v>14</v>
      </c>
      <c r="C4">
        <v>41</v>
      </c>
    </row>
    <row r="5" spans="1:3" x14ac:dyDescent="0.35">
      <c r="A5" t="s">
        <v>88</v>
      </c>
      <c r="B5" t="s">
        <v>14</v>
      </c>
      <c r="C5">
        <v>4674</v>
      </c>
    </row>
    <row r="6" spans="1:3" x14ac:dyDescent="0.35">
      <c r="A6" t="s">
        <v>88</v>
      </c>
      <c r="B6" t="s">
        <v>14</v>
      </c>
      <c r="C6">
        <v>4768</v>
      </c>
    </row>
    <row r="7" spans="1:3" x14ac:dyDescent="0.35">
      <c r="A7" t="s">
        <v>88</v>
      </c>
      <c r="B7" t="s">
        <v>10</v>
      </c>
      <c r="C7">
        <v>1102</v>
      </c>
    </row>
    <row r="8" spans="1:3" x14ac:dyDescent="0.35">
      <c r="A8" t="s">
        <v>88</v>
      </c>
      <c r="B8" t="s">
        <v>10</v>
      </c>
      <c r="C8">
        <v>4886</v>
      </c>
    </row>
    <row r="9" spans="1:3" x14ac:dyDescent="0.35">
      <c r="A9" t="s">
        <v>88</v>
      </c>
      <c r="B9" t="s">
        <v>10</v>
      </c>
      <c r="C9">
        <v>4887</v>
      </c>
    </row>
    <row r="10" spans="1:3" x14ac:dyDescent="0.35">
      <c r="A10" t="s">
        <v>88</v>
      </c>
      <c r="B10" t="s">
        <v>10</v>
      </c>
      <c r="C10">
        <v>4899</v>
      </c>
    </row>
    <row r="11" spans="1:3" x14ac:dyDescent="0.35">
      <c r="A11" t="s">
        <v>88</v>
      </c>
      <c r="B11" t="s">
        <v>10</v>
      </c>
      <c r="C11">
        <v>4900</v>
      </c>
    </row>
    <row r="12" spans="1:3" x14ac:dyDescent="0.35">
      <c r="A12" t="s">
        <v>89</v>
      </c>
      <c r="B12" t="s">
        <v>14</v>
      </c>
      <c r="C12">
        <v>4625</v>
      </c>
    </row>
    <row r="13" spans="1:3" x14ac:dyDescent="0.35">
      <c r="A13" t="s">
        <v>89</v>
      </c>
      <c r="B13" t="s">
        <v>14</v>
      </c>
      <c r="C13">
        <v>4738</v>
      </c>
    </row>
    <row r="14" spans="1:3" x14ac:dyDescent="0.35">
      <c r="A14" t="s">
        <v>89</v>
      </c>
      <c r="B14" t="s">
        <v>14</v>
      </c>
      <c r="C14">
        <v>4768</v>
      </c>
    </row>
    <row r="15" spans="1:3" x14ac:dyDescent="0.35">
      <c r="A15" t="s">
        <v>89</v>
      </c>
      <c r="B15" t="s">
        <v>14</v>
      </c>
      <c r="C15">
        <v>5136</v>
      </c>
    </row>
    <row r="16" spans="1:3" x14ac:dyDescent="0.35">
      <c r="A16" t="s">
        <v>90</v>
      </c>
      <c r="B16" t="s">
        <v>14</v>
      </c>
      <c r="C16">
        <v>4662</v>
      </c>
    </row>
    <row r="17" spans="1:3" x14ac:dyDescent="0.35">
      <c r="A17" t="s">
        <v>91</v>
      </c>
      <c r="B17" t="s">
        <v>14</v>
      </c>
      <c r="C17">
        <v>1102</v>
      </c>
    </row>
    <row r="18" spans="1:3" x14ac:dyDescent="0.35">
      <c r="A18" t="s">
        <v>91</v>
      </c>
      <c r="B18" t="s">
        <v>14</v>
      </c>
      <c r="C18">
        <v>4103</v>
      </c>
    </row>
    <row r="19" spans="1:3" x14ac:dyDescent="0.35">
      <c r="A19" t="s">
        <v>91</v>
      </c>
      <c r="B19" t="s">
        <v>14</v>
      </c>
      <c r="C19">
        <v>4104</v>
      </c>
    </row>
    <row r="20" spans="1:3" x14ac:dyDescent="0.35">
      <c r="A20" t="s">
        <v>91</v>
      </c>
      <c r="B20" t="s">
        <v>14</v>
      </c>
      <c r="C20">
        <v>4656</v>
      </c>
    </row>
    <row r="21" spans="1:3" x14ac:dyDescent="0.35">
      <c r="A21" t="s">
        <v>91</v>
      </c>
      <c r="B21" t="s">
        <v>14</v>
      </c>
      <c r="C21">
        <v>4663</v>
      </c>
    </row>
    <row r="22" spans="1:3" x14ac:dyDescent="0.35">
      <c r="A22" t="s">
        <v>91</v>
      </c>
      <c r="B22" t="s">
        <v>14</v>
      </c>
      <c r="C22">
        <v>4688</v>
      </c>
    </row>
    <row r="23" spans="1:3" x14ac:dyDescent="0.35">
      <c r="A23" t="s">
        <v>91</v>
      </c>
      <c r="B23" t="s">
        <v>14</v>
      </c>
      <c r="C23">
        <v>8222</v>
      </c>
    </row>
    <row r="24" spans="1:3" x14ac:dyDescent="0.35">
      <c r="A24" t="s">
        <v>92</v>
      </c>
      <c r="B24" t="s">
        <v>10</v>
      </c>
      <c r="C24">
        <v>1102</v>
      </c>
    </row>
    <row r="25" spans="1:3" x14ac:dyDescent="0.35">
      <c r="A25" t="s">
        <v>92</v>
      </c>
      <c r="B25" t="s">
        <v>10</v>
      </c>
      <c r="C25">
        <v>4103</v>
      </c>
    </row>
    <row r="26" spans="1:3" x14ac:dyDescent="0.35">
      <c r="A26" t="s">
        <v>92</v>
      </c>
      <c r="B26" t="s">
        <v>10</v>
      </c>
      <c r="C26">
        <v>4104</v>
      </c>
    </row>
    <row r="27" spans="1:3" x14ac:dyDescent="0.35">
      <c r="A27" t="s">
        <v>92</v>
      </c>
      <c r="B27" t="s">
        <v>10</v>
      </c>
      <c r="C27">
        <v>4876</v>
      </c>
    </row>
    <row r="28" spans="1:3" x14ac:dyDescent="0.35">
      <c r="A28" t="s">
        <v>92</v>
      </c>
      <c r="B28" t="s">
        <v>10</v>
      </c>
      <c r="C28">
        <v>70</v>
      </c>
    </row>
    <row r="29" spans="1:3" x14ac:dyDescent="0.35">
      <c r="A29" t="s">
        <v>93</v>
      </c>
      <c r="B29" t="s">
        <v>12</v>
      </c>
      <c r="C29">
        <v>1007</v>
      </c>
    </row>
    <row r="30" spans="1:3" x14ac:dyDescent="0.35">
      <c r="A30" t="s">
        <v>93</v>
      </c>
      <c r="B30" t="s">
        <v>12</v>
      </c>
      <c r="C30">
        <v>1102</v>
      </c>
    </row>
    <row r="31" spans="1:3" x14ac:dyDescent="0.35">
      <c r="A31" t="s">
        <v>93</v>
      </c>
      <c r="B31" t="s">
        <v>12</v>
      </c>
      <c r="C31">
        <v>1200</v>
      </c>
    </row>
    <row r="32" spans="1:3" x14ac:dyDescent="0.35">
      <c r="A32" t="s">
        <v>93</v>
      </c>
      <c r="B32" t="s">
        <v>12</v>
      </c>
      <c r="C32">
        <v>1202</v>
      </c>
    </row>
    <row r="33" spans="1:3" x14ac:dyDescent="0.35">
      <c r="A33" t="s">
        <v>93</v>
      </c>
      <c r="B33" t="s">
        <v>12</v>
      </c>
      <c r="C33">
        <v>307</v>
      </c>
    </row>
    <row r="34" spans="1:3" x14ac:dyDescent="0.35">
      <c r="A34" t="s">
        <v>93</v>
      </c>
      <c r="B34" t="s">
        <v>12</v>
      </c>
      <c r="C34">
        <v>510</v>
      </c>
    </row>
    <row r="35" spans="1:3" x14ac:dyDescent="0.35">
      <c r="A35" t="s">
        <v>93</v>
      </c>
      <c r="B35" t="s">
        <v>12</v>
      </c>
      <c r="C35">
        <v>70</v>
      </c>
    </row>
    <row r="36" spans="1:3" x14ac:dyDescent="0.35">
      <c r="A36" t="s">
        <v>93</v>
      </c>
      <c r="B36" t="s">
        <v>14</v>
      </c>
      <c r="C36">
        <v>4662</v>
      </c>
    </row>
    <row r="37" spans="1:3" x14ac:dyDescent="0.35">
      <c r="A37" t="s">
        <v>94</v>
      </c>
      <c r="B37" t="s">
        <v>14</v>
      </c>
      <c r="C37">
        <v>4768</v>
      </c>
    </row>
    <row r="38" spans="1:3" x14ac:dyDescent="0.35">
      <c r="A38" t="s">
        <v>94</v>
      </c>
      <c r="B38" t="s">
        <v>14</v>
      </c>
      <c r="C38">
        <v>4769</v>
      </c>
    </row>
    <row r="39" spans="1:3" x14ac:dyDescent="0.35">
      <c r="A39" t="s">
        <v>95</v>
      </c>
      <c r="B39" t="s">
        <v>14</v>
      </c>
      <c r="C39">
        <v>4738</v>
      </c>
    </row>
    <row r="40" spans="1:3" x14ac:dyDescent="0.35">
      <c r="A40" t="s">
        <v>95</v>
      </c>
      <c r="B40" t="s">
        <v>14</v>
      </c>
      <c r="C40">
        <v>4769</v>
      </c>
    </row>
    <row r="41" spans="1:3" x14ac:dyDescent="0.35">
      <c r="A41" t="s">
        <v>95</v>
      </c>
      <c r="B41" t="s">
        <v>14</v>
      </c>
      <c r="C41">
        <v>5136</v>
      </c>
    </row>
    <row r="42" spans="1:3" x14ac:dyDescent="0.35">
      <c r="A42" t="s">
        <v>96</v>
      </c>
      <c r="B42" t="s">
        <v>14</v>
      </c>
      <c r="C42">
        <v>4624</v>
      </c>
    </row>
    <row r="43" spans="1:3" x14ac:dyDescent="0.35">
      <c r="A43" t="s">
        <v>96</v>
      </c>
      <c r="B43" t="s">
        <v>14</v>
      </c>
      <c r="C43">
        <v>4724</v>
      </c>
    </row>
    <row r="44" spans="1:3" x14ac:dyDescent="0.35">
      <c r="A44" t="s">
        <v>96</v>
      </c>
      <c r="B44" t="s">
        <v>14</v>
      </c>
      <c r="C44">
        <v>4741</v>
      </c>
    </row>
    <row r="45" spans="1:3" x14ac:dyDescent="0.35">
      <c r="A45" t="s">
        <v>97</v>
      </c>
      <c r="B45" t="s">
        <v>19</v>
      </c>
      <c r="C45">
        <v>1102</v>
      </c>
    </row>
    <row r="46" spans="1:3" x14ac:dyDescent="0.35">
      <c r="A46" t="s">
        <v>97</v>
      </c>
      <c r="B46" t="s">
        <v>19</v>
      </c>
      <c r="C46">
        <v>4103</v>
      </c>
    </row>
    <row r="47" spans="1:3" x14ac:dyDescent="0.35">
      <c r="A47" t="s">
        <v>97</v>
      </c>
      <c r="B47" t="s">
        <v>19</v>
      </c>
      <c r="C47">
        <v>4104</v>
      </c>
    </row>
    <row r="48" spans="1:3" x14ac:dyDescent="0.35">
      <c r="A48" t="s">
        <v>97</v>
      </c>
      <c r="B48" t="s">
        <v>19</v>
      </c>
      <c r="C48">
        <v>611</v>
      </c>
    </row>
    <row r="49" spans="1:3" x14ac:dyDescent="0.35">
      <c r="A49" t="s">
        <v>97</v>
      </c>
      <c r="B49" t="s">
        <v>19</v>
      </c>
      <c r="C49">
        <v>650</v>
      </c>
    </row>
    <row r="50" spans="1:3" x14ac:dyDescent="0.35">
      <c r="A50" t="s">
        <v>97</v>
      </c>
      <c r="B50" t="s">
        <v>19</v>
      </c>
      <c r="C50">
        <v>651</v>
      </c>
    </row>
    <row r="51" spans="1:3" x14ac:dyDescent="0.35">
      <c r="A51" t="s">
        <v>97</v>
      </c>
      <c r="B51" t="s">
        <v>19</v>
      </c>
      <c r="C51">
        <v>656</v>
      </c>
    </row>
    <row r="52" spans="1:3" x14ac:dyDescent="0.35">
      <c r="A52" t="s">
        <v>97</v>
      </c>
      <c r="B52" t="s">
        <v>19</v>
      </c>
      <c r="C52">
        <v>657</v>
      </c>
    </row>
    <row r="53" spans="1:3" x14ac:dyDescent="0.35">
      <c r="A53" t="s">
        <v>98</v>
      </c>
      <c r="B53" t="s">
        <v>14</v>
      </c>
      <c r="C53">
        <v>1102</v>
      </c>
    </row>
    <row r="54" spans="1:3" x14ac:dyDescent="0.35">
      <c r="A54" t="s">
        <v>98</v>
      </c>
      <c r="B54" t="s">
        <v>14</v>
      </c>
      <c r="C54">
        <v>4103</v>
      </c>
    </row>
    <row r="55" spans="1:3" x14ac:dyDescent="0.35">
      <c r="A55" t="s">
        <v>98</v>
      </c>
      <c r="B55" t="s">
        <v>14</v>
      </c>
      <c r="C55">
        <v>4104</v>
      </c>
    </row>
    <row r="56" spans="1:3" x14ac:dyDescent="0.35">
      <c r="A56" t="s">
        <v>98</v>
      </c>
      <c r="B56" t="s">
        <v>23</v>
      </c>
      <c r="C56">
        <v>4768</v>
      </c>
    </row>
    <row r="57" spans="1:3" x14ac:dyDescent="0.35">
      <c r="A57" t="s">
        <v>99</v>
      </c>
      <c r="B57" t="s">
        <v>14</v>
      </c>
      <c r="C57">
        <v>2889</v>
      </c>
    </row>
    <row r="58" spans="1:3" x14ac:dyDescent="0.35">
      <c r="A58" t="s">
        <v>99</v>
      </c>
      <c r="B58" t="s">
        <v>14</v>
      </c>
      <c r="C58">
        <v>4624</v>
      </c>
    </row>
    <row r="59" spans="1:3" x14ac:dyDescent="0.35">
      <c r="A59" t="s">
        <v>99</v>
      </c>
      <c r="B59" t="s">
        <v>14</v>
      </c>
      <c r="C59">
        <v>4625</v>
      </c>
    </row>
    <row r="60" spans="1:3" x14ac:dyDescent="0.35">
      <c r="A60" t="s">
        <v>99</v>
      </c>
      <c r="B60" t="s">
        <v>14</v>
      </c>
      <c r="C60">
        <v>4740</v>
      </c>
    </row>
    <row r="61" spans="1:3" x14ac:dyDescent="0.35">
      <c r="A61" t="s">
        <v>99</v>
      </c>
      <c r="B61" t="s">
        <v>14</v>
      </c>
      <c r="C61">
        <v>4771</v>
      </c>
    </row>
    <row r="62" spans="1:3" x14ac:dyDescent="0.35">
      <c r="A62" t="s">
        <v>99</v>
      </c>
      <c r="B62" t="s">
        <v>14</v>
      </c>
      <c r="C62">
        <v>2889</v>
      </c>
    </row>
    <row r="63" spans="1:3" x14ac:dyDescent="0.35">
      <c r="A63" t="s">
        <v>99</v>
      </c>
      <c r="B63" t="s">
        <v>21</v>
      </c>
      <c r="C63">
        <v>4648</v>
      </c>
    </row>
    <row r="64" spans="1:3" x14ac:dyDescent="0.35">
      <c r="A64" t="s">
        <v>99</v>
      </c>
      <c r="B64" t="s">
        <v>100</v>
      </c>
      <c r="C64">
        <v>4648</v>
      </c>
    </row>
    <row r="65" spans="1:3" x14ac:dyDescent="0.35">
      <c r="A65" t="s">
        <v>101</v>
      </c>
      <c r="B65" t="s">
        <v>14</v>
      </c>
      <c r="C65">
        <v>1102</v>
      </c>
    </row>
    <row r="66" spans="1:3" x14ac:dyDescent="0.35">
      <c r="A66" t="s">
        <v>101</v>
      </c>
      <c r="B66" t="s">
        <v>14</v>
      </c>
      <c r="C66">
        <v>4103</v>
      </c>
    </row>
    <row r="67" spans="1:3" x14ac:dyDescent="0.35">
      <c r="A67" t="s">
        <v>101</v>
      </c>
      <c r="B67" t="s">
        <v>14</v>
      </c>
      <c r="C67">
        <v>4104</v>
      </c>
    </row>
    <row r="68" spans="1:3" x14ac:dyDescent="0.35">
      <c r="A68" t="s">
        <v>101</v>
      </c>
      <c r="B68" t="s">
        <v>14</v>
      </c>
      <c r="C68">
        <v>4675</v>
      </c>
    </row>
    <row r="69" spans="1:3" x14ac:dyDescent="0.35">
      <c r="A69" t="s">
        <v>101</v>
      </c>
      <c r="B69" t="s">
        <v>14</v>
      </c>
      <c r="C69">
        <v>4738</v>
      </c>
    </row>
    <row r="70" spans="1:3" x14ac:dyDescent="0.35">
      <c r="A70" t="s">
        <v>102</v>
      </c>
      <c r="B70" t="s">
        <v>21</v>
      </c>
      <c r="C70">
        <v>4624</v>
      </c>
    </row>
    <row r="71" spans="1:3" x14ac:dyDescent="0.35">
      <c r="A71" t="s">
        <v>102</v>
      </c>
      <c r="B71" t="s">
        <v>21</v>
      </c>
      <c r="C71">
        <v>4627</v>
      </c>
    </row>
    <row r="72" spans="1:3" x14ac:dyDescent="0.35">
      <c r="A72" t="s">
        <v>102</v>
      </c>
      <c r="B72" t="s">
        <v>100</v>
      </c>
      <c r="C72">
        <v>4624</v>
      </c>
    </row>
    <row r="73" spans="1:3" x14ac:dyDescent="0.35">
      <c r="A73" t="s">
        <v>102</v>
      </c>
      <c r="B73" t="s">
        <v>100</v>
      </c>
      <c r="C73">
        <v>4627</v>
      </c>
    </row>
    <row r="74" spans="1:3" x14ac:dyDescent="0.35">
      <c r="A74" t="s">
        <v>103</v>
      </c>
      <c r="B74" t="s">
        <v>14</v>
      </c>
      <c r="C74">
        <v>1102</v>
      </c>
    </row>
    <row r="75" spans="1:3" x14ac:dyDescent="0.35">
      <c r="A75" t="s">
        <v>103</v>
      </c>
      <c r="B75" t="s">
        <v>14</v>
      </c>
      <c r="C75">
        <v>3033</v>
      </c>
    </row>
    <row r="76" spans="1:3" x14ac:dyDescent="0.35">
      <c r="A76" t="s">
        <v>103</v>
      </c>
      <c r="B76" t="s">
        <v>14</v>
      </c>
      <c r="C76">
        <v>3063</v>
      </c>
    </row>
    <row r="77" spans="1:3" x14ac:dyDescent="0.35">
      <c r="A77" t="s">
        <v>103</v>
      </c>
      <c r="B77" t="s">
        <v>14</v>
      </c>
      <c r="C77">
        <v>4103</v>
      </c>
    </row>
    <row r="78" spans="1:3" x14ac:dyDescent="0.35">
      <c r="A78" t="s">
        <v>103</v>
      </c>
      <c r="B78" t="s">
        <v>14</v>
      </c>
      <c r="C78">
        <v>4104</v>
      </c>
    </row>
    <row r="79" spans="1:3" x14ac:dyDescent="0.35">
      <c r="A79" t="s">
        <v>103</v>
      </c>
      <c r="B79" t="s">
        <v>14</v>
      </c>
      <c r="C79">
        <v>4663</v>
      </c>
    </row>
    <row r="80" spans="1:3" x14ac:dyDescent="0.35">
      <c r="A80" t="s">
        <v>103</v>
      </c>
      <c r="B80" t="s">
        <v>14</v>
      </c>
      <c r="C80">
        <v>4673</v>
      </c>
    </row>
    <row r="81" spans="1:3" x14ac:dyDescent="0.35">
      <c r="A81" t="s">
        <v>103</v>
      </c>
      <c r="B81" t="s">
        <v>14</v>
      </c>
      <c r="C81">
        <v>4697</v>
      </c>
    </row>
    <row r="82" spans="1:3" x14ac:dyDescent="0.35">
      <c r="A82" t="s">
        <v>103</v>
      </c>
      <c r="B82" t="s">
        <v>14</v>
      </c>
      <c r="C82">
        <v>4703</v>
      </c>
    </row>
    <row r="83" spans="1:3" x14ac:dyDescent="0.35">
      <c r="A83" t="s">
        <v>104</v>
      </c>
      <c r="B83" t="s">
        <v>25</v>
      </c>
      <c r="C83">
        <v>4103</v>
      </c>
    </row>
    <row r="84" spans="1:3" x14ac:dyDescent="0.35">
      <c r="A84" t="s">
        <v>104</v>
      </c>
      <c r="B84" t="s">
        <v>25</v>
      </c>
      <c r="C84">
        <v>4104</v>
      </c>
    </row>
    <row r="85" spans="1:3" x14ac:dyDescent="0.35">
      <c r="A85" t="s">
        <v>104</v>
      </c>
      <c r="B85" t="s">
        <v>25</v>
      </c>
      <c r="C85">
        <v>4624</v>
      </c>
    </row>
    <row r="86" spans="1:3" x14ac:dyDescent="0.35">
      <c r="A86" t="s">
        <v>104</v>
      </c>
      <c r="B86" t="s">
        <v>25</v>
      </c>
      <c r="C86">
        <v>4688</v>
      </c>
    </row>
    <row r="87" spans="1:3" x14ac:dyDescent="0.35">
      <c r="A87" t="s">
        <v>104</v>
      </c>
      <c r="B87" t="s">
        <v>14</v>
      </c>
      <c r="C87">
        <v>4624</v>
      </c>
    </row>
    <row r="88" spans="1:3" x14ac:dyDescent="0.35">
      <c r="A88" t="s">
        <v>104</v>
      </c>
      <c r="B88" t="s">
        <v>14</v>
      </c>
      <c r="C88">
        <v>4770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e90a65-807e-40da-973b-d8d270d61685">
      <Terms xmlns="http://schemas.microsoft.com/office/infopath/2007/PartnerControls"/>
    </lcf76f155ced4ddcb4097134ff3c332f>
    <TaxCatchAll xmlns="746a4e75-5032-4aff-98b7-9fbf7489ef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3B4AAC7A0FFAB4CB73F8DD033AE7C5F" ma:contentTypeVersion="17" ma:contentTypeDescription="Create a new document." ma:contentTypeScope="" ma:versionID="d4691711afd054579b5cc2c903e9163c">
  <xsd:schema xmlns:xsd="http://www.w3.org/2001/XMLSchema" xmlns:xs="http://www.w3.org/2001/XMLSchema" xmlns:p="http://schemas.microsoft.com/office/2006/metadata/properties" xmlns:ns2="5fe90a65-807e-40da-973b-d8d270d61685" xmlns:ns3="746a4e75-5032-4aff-98b7-9fbf7489ef7e" targetNamespace="http://schemas.microsoft.com/office/2006/metadata/properties" ma:root="true" ma:fieldsID="e9c6cdebd54216a179070b04dfb235e9" ns2:_="" ns3:_="">
    <xsd:import namespace="5fe90a65-807e-40da-973b-d8d270d61685"/>
    <xsd:import namespace="746a4e75-5032-4aff-98b7-9fbf7489ef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e90a65-807e-40da-973b-d8d270d616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9dd5136-d8d3-43bd-8536-49417bb068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6a4e75-5032-4aff-98b7-9fbf7489ef7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beba984-7c70-4e40-a717-75f557ea7dc2}" ma:internalName="TaxCatchAll" ma:showField="CatchAllData" ma:web="746a4e75-5032-4aff-98b7-9fbf7489ef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05E5ED-F91D-473E-A0C3-90200A600C78}">
  <ds:schemaRefs>
    <ds:schemaRef ds:uri="http://schemas.microsoft.com/office/2006/metadata/properties"/>
    <ds:schemaRef ds:uri="http://schemas.microsoft.com/office/infopath/2007/PartnerControls"/>
    <ds:schemaRef ds:uri="5fe90a65-807e-40da-973b-d8d270d61685"/>
    <ds:schemaRef ds:uri="746a4e75-5032-4aff-98b7-9fbf7489ef7e"/>
  </ds:schemaRefs>
</ds:datastoreItem>
</file>

<file path=customXml/itemProps2.xml><?xml version="1.0" encoding="utf-8"?>
<ds:datastoreItem xmlns:ds="http://schemas.openxmlformats.org/officeDocument/2006/customXml" ds:itemID="{F4833968-35FB-4466-84F4-FF51DFD476E2}"/>
</file>

<file path=customXml/itemProps3.xml><?xml version="1.0" encoding="utf-8"?>
<ds:datastoreItem xmlns:ds="http://schemas.openxmlformats.org/officeDocument/2006/customXml" ds:itemID="{3BF0B010-23FE-4517-9EF7-89EDF0A493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AssetGroups</vt:lpstr>
      <vt:lpstr>EventIDs</vt:lpstr>
      <vt:lpstr>CompromiseMap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Gigengack, Peter</dc:creator>
  <cp:keywords/>
  <dc:description/>
  <cp:lastModifiedBy>Gigengack, Peter</cp:lastModifiedBy>
  <cp:revision/>
  <dcterms:created xsi:type="dcterms:W3CDTF">2025-09-21T06:12:46Z</dcterms:created>
  <dcterms:modified xsi:type="dcterms:W3CDTF">2025-12-10T15:36:34Z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16cf7cf-4bad-475a-a557-f71d08d59046_Enabled">
    <vt:lpwstr>true</vt:lpwstr>
  </property>
  <property fmtid="{D5CDD505-2E9C-101B-9397-08002B2CF9AE}" pid="3" name="MSIP_Label_116cf7cf-4bad-475a-a557-f71d08d59046_SetDate">
    <vt:lpwstr>2025-09-21T07:12:40Z</vt:lpwstr>
  </property>
  <property fmtid="{D5CDD505-2E9C-101B-9397-08002B2CF9AE}" pid="4" name="MSIP_Label_116cf7cf-4bad-475a-a557-f71d08d59046_Method">
    <vt:lpwstr>Standard</vt:lpwstr>
  </property>
  <property fmtid="{D5CDD505-2E9C-101B-9397-08002B2CF9AE}" pid="5" name="MSIP_Label_116cf7cf-4bad-475a-a557-f71d08d59046_Name">
    <vt:lpwstr>OFFICIAL [ Office ]</vt:lpwstr>
  </property>
  <property fmtid="{D5CDD505-2E9C-101B-9397-08002B2CF9AE}" pid="6" name="MSIP_Label_116cf7cf-4bad-475a-a557-f71d08d59046_SiteId">
    <vt:lpwstr>d48144b5-571f-4b68-9721-e41bc0071e17</vt:lpwstr>
  </property>
  <property fmtid="{D5CDD505-2E9C-101B-9397-08002B2CF9AE}" pid="7" name="MSIP_Label_116cf7cf-4bad-475a-a557-f71d08d59046_ActionId">
    <vt:lpwstr>429ea863-b7af-4e7d-9a97-54fd7b04b52e</vt:lpwstr>
  </property>
  <property fmtid="{D5CDD505-2E9C-101B-9397-08002B2CF9AE}" pid="8" name="MSIP_Label_116cf7cf-4bad-475a-a557-f71d08d59046_ContentBits">
    <vt:lpwstr>0</vt:lpwstr>
  </property>
  <property fmtid="{D5CDD505-2E9C-101B-9397-08002B2CF9AE}" pid="9" name="MSIP_Label_116cf7cf-4bad-475a-a557-f71d08d59046_Tag">
    <vt:lpwstr>10, 3, 0, 1</vt:lpwstr>
  </property>
  <property fmtid="{D5CDD505-2E9C-101B-9397-08002B2CF9AE}" pid="10" name="ContentTypeId">
    <vt:lpwstr>0x01010033B4AAC7A0FFAB4CB73F8DD033AE7C5F</vt:lpwstr>
  </property>
  <property fmtid="{D5CDD505-2E9C-101B-9397-08002B2CF9AE}" pid="11" name="MediaServiceImageTags">
    <vt:lpwstr/>
  </property>
</Properties>
</file>